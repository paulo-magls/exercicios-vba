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PHILCO\Desktop\Aulas-VBA\exercicios-vba\Exercicios_Aula07\"/>
    </mc:Choice>
  </mc:AlternateContent>
  <xr:revisionPtr revIDLastSave="0" documentId="13_ncr:1_{C4F921CF-CE12-4823-A348-0B9638306F7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estes" sheetId="9" r:id="rId1"/>
  </sheets>
  <functionGroups builtInGroupCount="19"/>
  <definedNames>
    <definedName name="anscount" hidden="1">1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novo" localSheetId="0">#REF!</definedName>
    <definedName name="novo">#REF!</definedName>
    <definedName name="Pacotes" localSheetId="0">#REF!</definedName>
    <definedName name="Pacotes">#REF!</definedName>
    <definedName name="rw" localSheetId="0">#REF!</definedName>
    <definedName name="rw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9" l="1" a="1"/>
  <c r="A11" i="9"/>
  <c r="D8" i="9" a="1"/>
  <c r="D8" i="9"/>
  <c r="D5" i="9" a="1"/>
  <c r="D5" i="9"/>
  <c r="C8" i="9" a="1"/>
  <c r="C8" i="9"/>
  <c r="C5" i="9" a="1"/>
  <c r="C5" i="9"/>
  <c r="L3" i="9" a="1"/>
  <c r="L3" i="9"/>
  <c r="L4" i="9" a="1"/>
  <c r="L4" i="9"/>
  <c r="L5" i="9" a="1"/>
  <c r="L5" i="9"/>
  <c r="L6" i="9" a="1"/>
  <c r="L6" i="9"/>
  <c r="L7" i="9" a="1"/>
  <c r="L7" i="9"/>
  <c r="L2" i="9" a="1"/>
  <c r="L2" i="9"/>
  <c r="J7" i="9"/>
  <c r="J6" i="9"/>
  <c r="J5" i="9"/>
  <c r="J4" i="9"/>
  <c r="J3" i="9"/>
  <c r="J2" i="9"/>
  <c r="C2" i="9"/>
  <c r="D2" i="9" s="1" a="1"/>
  <c r="D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<sst xmlns="http://schemas.openxmlformats.org/spreadsheetml/2006/main" count="25" uniqueCount="25">
  <si>
    <t>IMC</t>
  </si>
  <si>
    <t>Peso</t>
  </si>
  <si>
    <t>Altura</t>
  </si>
  <si>
    <t>Base</t>
  </si>
  <si>
    <t>Expoente</t>
  </si>
  <si>
    <t>Situação</t>
  </si>
  <si>
    <t xml:space="preserve">Vinicius </t>
  </si>
  <si>
    <t>Renan</t>
  </si>
  <si>
    <t xml:space="preserve">Danilo </t>
  </si>
  <si>
    <t>Ana</t>
  </si>
  <si>
    <t>Resultado</t>
  </si>
  <si>
    <t>P2</t>
  </si>
  <si>
    <t>P1</t>
  </si>
  <si>
    <t>Nome</t>
  </si>
  <si>
    <t>Faltas</t>
  </si>
  <si>
    <t>Carla</t>
  </si>
  <si>
    <t>Largura</t>
  </si>
  <si>
    <t>Comprimento</t>
  </si>
  <si>
    <t>Katia</t>
  </si>
  <si>
    <t>Média</t>
  </si>
  <si>
    <t>Potencia com expoente</t>
  </si>
  <si>
    <t>Potencia sem expoente</t>
  </si>
  <si>
    <t>Dias até final do ano</t>
  </si>
  <si>
    <t>Área (com 2)</t>
  </si>
  <si>
    <t>Área (com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</si>
</sst>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indexed="4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5" fillId="0" borderId="0"/>
    <xf numFmtId="0" fontId="4" fillId="0" borderId="0"/>
    <xf numFmtId="0" fontId="5" fillId="0" borderId="0"/>
    <xf numFmtId="0" fontId="1" fillId="0" borderId="0"/>
    <xf numFmtId="0" fontId="1" fillId="0" borderId="0"/>
  </cellStyleXfs>
  <cellXfs count="22">
    <xf numFmtId="0" fontId="0" fillId="0" borderId="0" xfId="0"/>
    <xf numFmtId="0" fontId="1" fillId="0" borderId="0" xfId="2"/>
    <xf numFmtId="164" fontId="6" fillId="0" borderId="1" xfId="4" applyNumberFormat="1" applyFont="1" applyBorder="1" applyAlignment="1">
      <alignment horizontal="center"/>
    </xf>
    <xf numFmtId="0" fontId="6" fillId="0" borderId="1" xfId="4" applyFont="1" applyBorder="1" applyAlignment="1">
      <alignment horizontal="left"/>
    </xf>
    <xf numFmtId="0" fontId="6" fillId="0" borderId="1" xfId="4" applyFont="1" applyBorder="1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4" fillId="0" borderId="1" xfId="4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10" fillId="0" borderId="1" xfId="2" applyFont="1" applyBorder="1" applyAlignment="1">
      <alignment horizontal="center" vertical="center"/>
    </xf>
    <xf numFmtId="0" fontId="11" fillId="0" borderId="0" xfId="2" applyFont="1"/>
    <xf numFmtId="0" fontId="6" fillId="0" borderId="0" xfId="2" applyFont="1"/>
    <xf numFmtId="0" fontId="2" fillId="0" borderId="1" xfId="2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2" fontId="2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0" fontId="7" fillId="0" borderId="1" xfId="4" applyFont="1" applyBorder="1" applyAlignment="1">
      <alignment horizontal="center" vertical="center"/>
    </xf>
    <xf numFmtId="164" fontId="7" fillId="0" borderId="1" xfId="4" applyNumberFormat="1" applyFont="1" applyBorder="1" applyAlignment="1">
      <alignment horizontal="center" vertical="center"/>
    </xf>
    <xf numFmtId="14" fontId="1" fillId="0" borderId="0" xfId="2" applyNumberFormat="1"/>
  </cellXfs>
  <cellStyles count="8">
    <cellStyle name="Normal" xfId="0" builtinId="0"/>
    <cellStyle name="Normal 2 2" xfId="1" xr:uid="{00000000-0005-0000-0000-000001000000}"/>
    <cellStyle name="Normal 2 2 2" xfId="2" xr:uid="{99D79D40-22C2-4D05-AB4E-71F2A87CA1A0}"/>
    <cellStyle name="Normal 2 2 3" xfId="3" xr:uid="{83148756-968A-4FE1-A23F-68A814A80AD4}"/>
    <cellStyle name="Normal 2 3" xfId="5" xr:uid="{EEBF00C1-2F99-482D-9DFB-5A5CDC3A1159}"/>
    <cellStyle name="Normal 3" xfId="4" xr:uid="{8BB4A998-778D-4E60-BCF8-C8C392F2A932}"/>
    <cellStyle name="Normal 3 2" xfId="7" xr:uid="{2C11A773-BDAF-4043-9C97-3F639D44A59B}"/>
    <cellStyle name="Normal 4 2" xfId="6" xr:uid="{FC5AF6B4-0A7F-481F-B61C-D8D1C7D075C8}"/>
  </cellStyles>
  <dxfs count="2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CB751-A710-46F6-88CD-43576D216E53}">
  <sheetPr codeName="Planilha1"/>
  <dimension ref="A1:L20"/>
  <sheetViews>
    <sheetView tabSelected="1" workbookViewId="0">
      <selection activeCell="J12" sqref="J12"/>
    </sheetView>
  </sheetViews>
  <sheetFormatPr defaultColWidth="9" defaultRowHeight="12.75" x14ac:dyDescent="0.2"/>
  <cols>
    <col min="1" max="1" width="21.140625" style="1" customWidth="1"/>
    <col min="2" max="2" width="25.140625" style="1" customWidth="1"/>
    <col min="3" max="3" width="27" style="1" customWidth="1"/>
    <col min="4" max="4" width="22.28515625" style="1" bestFit="1" customWidth="1"/>
    <col min="5" max="6" width="9" style="1"/>
    <col min="7" max="7" width="12.140625" style="1" customWidth="1"/>
    <col min="8" max="8" width="3.5703125" style="1" bestFit="1" customWidth="1"/>
    <col min="9" max="9" width="4.5703125" style="1" bestFit="1" customWidth="1"/>
    <col min="10" max="10" width="6.7109375" style="1" bestFit="1" customWidth="1"/>
    <col min="11" max="11" width="6.140625" style="1" bestFit="1" customWidth="1"/>
    <col min="12" max="12" width="23.7109375" style="1" bestFit="1" customWidth="1"/>
    <col min="13" max="16384" width="9" style="1"/>
  </cols>
  <sheetData>
    <row r="1" spans="1:12" ht="15" x14ac:dyDescent="0.25">
      <c r="A1" s="12" t="s">
        <v>1</v>
      </c>
      <c r="B1" s="12" t="s">
        <v>2</v>
      </c>
      <c r="C1" s="12" t="s">
        <v>0</v>
      </c>
      <c r="D1" s="12" t="s">
        <v>5</v>
      </c>
      <c r="E1" s="13"/>
      <c r="F1" s="14"/>
      <c r="G1" s="19" t="s">
        <v>13</v>
      </c>
      <c r="H1" s="20" t="s">
        <v>12</v>
      </c>
      <c r="I1" s="20" t="s">
        <v>11</v>
      </c>
      <c r="J1" s="19" t="s">
        <v>19</v>
      </c>
      <c r="K1" s="19" t="s">
        <v>14</v>
      </c>
      <c r="L1" s="19" t="s">
        <v>10</v>
      </c>
    </row>
    <row r="2" spans="1:12" ht="15" x14ac:dyDescent="0.25">
      <c r="A2" s="15">
        <v>80</v>
      </c>
      <c r="B2" s="15">
        <v>1.63</v>
      </c>
      <c r="C2" s="17">
        <f>A2/B2^2</f>
        <v>30.110278896458279</v>
      </c>
      <c r="D2" s="16" t="str" cm="1">
        <f t="array" ref="D2">Verifica(C2)</f>
        <v>Alto</v>
      </c>
      <c r="E2" s="14"/>
      <c r="F2" s="14"/>
      <c r="G2" s="3" t="s">
        <v>9</v>
      </c>
      <c r="H2" s="2">
        <v>9</v>
      </c>
      <c r="I2" s="2">
        <v>5</v>
      </c>
      <c r="J2" s="2">
        <f t="shared" ref="J2:J7" si="0">AVERAGE(H2:I2)</f>
        <v>7</v>
      </c>
      <c r="K2" s="4">
        <v>12</v>
      </c>
      <c r="L2" s="8" t="str" cm="1">
        <f t="array" ref="L2">Avalia(J2,K2)</f>
        <v>Reprovado por falta</v>
      </c>
    </row>
    <row r="3" spans="1:12" ht="15" x14ac:dyDescent="0.25">
      <c r="A3" s="14"/>
      <c r="B3" s="14"/>
      <c r="C3" s="14"/>
      <c r="D3" s="14"/>
      <c r="E3" s="14"/>
      <c r="F3" s="14"/>
      <c r="G3" s="8" t="s">
        <v>15</v>
      </c>
      <c r="H3" s="2">
        <v>6</v>
      </c>
      <c r="I3" s="2">
        <v>8</v>
      </c>
      <c r="J3" s="2">
        <f t="shared" si="0"/>
        <v>7</v>
      </c>
      <c r="K3" s="4">
        <v>12</v>
      </c>
      <c r="L3" s="8" t="str" cm="1">
        <f t="array" ref="L3">Avalia(J3,K3)</f>
        <v>Reprovado por falta</v>
      </c>
    </row>
    <row r="4" spans="1:12" ht="15" x14ac:dyDescent="0.25">
      <c r="A4" s="6" t="s">
        <v>3</v>
      </c>
      <c r="B4" s="6" t="s">
        <v>4</v>
      </c>
      <c r="C4" s="6" t="s">
        <v>20</v>
      </c>
      <c r="D4" s="6" t="s">
        <v>21</v>
      </c>
      <c r="E4" s="14"/>
      <c r="F4" s="14"/>
      <c r="G4" s="3" t="s">
        <v>8</v>
      </c>
      <c r="H4" s="2">
        <v>5</v>
      </c>
      <c r="I4" s="2">
        <v>7</v>
      </c>
      <c r="J4" s="2">
        <f t="shared" si="0"/>
        <v>6</v>
      </c>
      <c r="K4" s="4">
        <v>2</v>
      </c>
      <c r="L4" s="8" t="str" cm="1">
        <f t="array" ref="L4">Avalia(J4,K4)</f>
        <v>Aprovado - Regular</v>
      </c>
    </row>
    <row r="5" spans="1:12" ht="15" x14ac:dyDescent="0.25">
      <c r="A5" s="9">
        <v>3</v>
      </c>
      <c r="B5" s="9">
        <v>2</v>
      </c>
      <c r="C5" s="10" cm="1">
        <f t="array" ref="C5">Elevado(A5,B5)</f>
        <v>9</v>
      </c>
      <c r="D5" s="9" cm="1">
        <f t="array" ref="D5">Elevado(A5)</f>
        <v>0</v>
      </c>
      <c r="E5" s="14"/>
      <c r="F5" s="14"/>
      <c r="G5" s="3" t="s">
        <v>18</v>
      </c>
      <c r="H5" s="2">
        <v>4</v>
      </c>
      <c r="I5" s="2">
        <v>0</v>
      </c>
      <c r="J5" s="2">
        <f t="shared" si="0"/>
        <v>2</v>
      </c>
      <c r="K5" s="4">
        <v>0</v>
      </c>
      <c r="L5" s="8" t="str" cm="1">
        <f t="array" ref="L5">Avalia(J5,K5)</f>
        <v>Reprovado</v>
      </c>
    </row>
    <row r="6" spans="1:12" ht="15" x14ac:dyDescent="0.25">
      <c r="A6" s="14"/>
      <c r="B6" s="14"/>
      <c r="C6" s="14"/>
      <c r="D6" s="14"/>
      <c r="E6" s="14"/>
      <c r="F6" s="14"/>
      <c r="G6" s="3" t="s">
        <v>7</v>
      </c>
      <c r="H6" s="2">
        <v>7</v>
      </c>
      <c r="I6" s="2">
        <v>10</v>
      </c>
      <c r="J6" s="2">
        <f t="shared" si="0"/>
        <v>8.5</v>
      </c>
      <c r="K6" s="4">
        <v>8</v>
      </c>
      <c r="L6" s="8" t="str" cm="1">
        <f t="array" ref="L6">Avalia(J6,K6)</f>
        <v>Aprovado - Ótimo</v>
      </c>
    </row>
    <row r="7" spans="1:12" ht="15" x14ac:dyDescent="0.25">
      <c r="A7" s="5" t="s">
        <v>16</v>
      </c>
      <c r="B7" s="5" t="s">
        <v>17</v>
      </c>
      <c r="C7" s="5" t="s">
        <v>23</v>
      </c>
      <c r="D7" s="5" t="s">
        <v>24</v>
      </c>
      <c r="E7" s="14"/>
      <c r="F7" s="14"/>
      <c r="G7" s="3" t="s">
        <v>6</v>
      </c>
      <c r="H7" s="2">
        <v>5</v>
      </c>
      <c r="I7" s="2">
        <v>6</v>
      </c>
      <c r="J7" s="2">
        <f t="shared" si="0"/>
        <v>5.5</v>
      </c>
      <c r="K7" s="4">
        <v>2</v>
      </c>
      <c r="L7" s="8" t="str" cm="1">
        <f t="array" ref="L7">Avalia(J7,K7)</f>
        <v>Reprovado</v>
      </c>
    </row>
    <row r="8" spans="1:12" ht="15" x14ac:dyDescent="0.25">
      <c r="A8" s="9">
        <v>3</v>
      </c>
      <c r="B8" s="9">
        <v>4</v>
      </c>
      <c r="C8" s="10" cm="1">
        <f t="array" ref="C8">aREA(A8,B8)</f>
        <v>12</v>
      </c>
      <c r="D8" s="18" cm="1">
        <f t="array" ref="D8">aREA(B8)</f>
        <v>16</v>
      </c>
      <c r="E8" s="14"/>
      <c r="F8" s="14"/>
      <c r="G8" s="14"/>
      <c r="H8" s="14"/>
      <c r="I8" s="14"/>
      <c r="J8" s="14"/>
      <c r="K8" s="14"/>
      <c r="L8" s="14"/>
    </row>
    <row r="9" spans="1:12" ht="15" x14ac:dyDescent="0.25">
      <c r="A9" s="14"/>
      <c r="B9" s="14"/>
      <c r="C9" s="11"/>
      <c r="D9" s="14"/>
      <c r="E9" s="14"/>
      <c r="F9" s="14"/>
      <c r="G9" s="14"/>
      <c r="H9" s="14"/>
      <c r="I9" s="14"/>
      <c r="J9" s="14"/>
      <c r="K9" s="14"/>
      <c r="L9" s="14"/>
    </row>
    <row r="10" spans="1:12" ht="15" x14ac:dyDescent="0.25">
      <c r="A10" s="7" t="s">
        <v>22</v>
      </c>
      <c r="B10" s="14"/>
      <c r="C10" s="14"/>
      <c r="D10" s="11"/>
      <c r="E10" s="14"/>
      <c r="F10" s="14"/>
      <c r="H10" s="14"/>
      <c r="I10" s="14"/>
      <c r="J10" s="14"/>
      <c r="K10" s="14"/>
      <c r="L10" s="14"/>
    </row>
    <row r="11" spans="1:12" ht="15" x14ac:dyDescent="0.25">
      <c r="A11" s="18" cm="1">
        <f t="array" ref="A11">Restantes()</f>
        <v>355</v>
      </c>
      <c r="B11" s="14"/>
      <c r="C11" s="14"/>
      <c r="D11" s="11"/>
      <c r="E11" s="11"/>
      <c r="F11" s="14"/>
      <c r="H11" s="14"/>
      <c r="I11" s="14"/>
      <c r="J11" s="14"/>
      <c r="K11" s="14"/>
      <c r="L11" s="14"/>
    </row>
    <row r="12" spans="1:12" ht="15" x14ac:dyDescent="0.25">
      <c r="A12" s="14"/>
      <c r="B12" s="14"/>
      <c r="C12" s="14"/>
      <c r="D12" s="11"/>
      <c r="E12" s="11"/>
      <c r="F12" s="14"/>
      <c r="G12" s="14"/>
      <c r="H12" s="14"/>
      <c r="I12" s="14"/>
      <c r="J12" s="14"/>
      <c r="K12" s="14"/>
      <c r="L12" s="14"/>
    </row>
    <row r="13" spans="1:12" ht="15" x14ac:dyDescent="0.25">
      <c r="A13" s="14"/>
      <c r="B13" s="14"/>
      <c r="C13" s="14"/>
      <c r="D13" s="14"/>
      <c r="E13" s="11"/>
      <c r="F13" s="14"/>
      <c r="G13" s="14"/>
      <c r="H13" s="14"/>
      <c r="I13" s="14"/>
      <c r="J13" s="14"/>
      <c r="K13" s="14"/>
      <c r="L13" s="14"/>
    </row>
    <row r="14" spans="1:12" ht="15" x14ac:dyDescent="0.25">
      <c r="A14" s="14"/>
      <c r="B14" s="14"/>
      <c r="C14" s="14"/>
      <c r="D14" s="14"/>
      <c r="E14" s="11"/>
      <c r="F14" s="11"/>
      <c r="G14" s="14"/>
      <c r="H14" s="14"/>
      <c r="I14" s="14"/>
      <c r="J14" s="14"/>
      <c r="K14" s="14"/>
      <c r="L14" s="14"/>
    </row>
    <row r="15" spans="1:12" ht="15" x14ac:dyDescent="0.25">
      <c r="A15" s="11"/>
      <c r="B15" s="11"/>
      <c r="C15" s="11"/>
      <c r="D15" s="14"/>
      <c r="E15" s="11"/>
      <c r="F15" s="11"/>
      <c r="G15" s="14"/>
      <c r="H15" s="14"/>
      <c r="I15" s="14"/>
      <c r="J15" s="14"/>
      <c r="K15" s="14"/>
      <c r="L15" s="14"/>
    </row>
    <row r="16" spans="1:12" ht="15" x14ac:dyDescent="0.25">
      <c r="A16" s="14"/>
      <c r="B16" s="14"/>
      <c r="C16" s="14"/>
      <c r="D16" s="11"/>
      <c r="E16" s="11"/>
      <c r="F16" s="11"/>
      <c r="G16" s="14"/>
      <c r="H16" s="14"/>
      <c r="I16" s="14"/>
      <c r="J16" s="14"/>
      <c r="K16" s="14"/>
      <c r="L16" s="14"/>
    </row>
    <row r="17" spans="1:12" ht="15" x14ac:dyDescent="0.25">
      <c r="A17" s="14"/>
      <c r="B17" s="14"/>
      <c r="C17" s="14"/>
      <c r="D17" s="11"/>
      <c r="E17" s="11"/>
      <c r="G17" s="14"/>
      <c r="H17" s="14"/>
      <c r="I17" s="14"/>
      <c r="J17" s="14"/>
      <c r="K17" s="14"/>
      <c r="L17" s="14"/>
    </row>
    <row r="18" spans="1:12" ht="15" x14ac:dyDescent="0.25">
      <c r="A18" s="21"/>
      <c r="C18" s="14"/>
      <c r="D18" s="11"/>
      <c r="E18" s="11"/>
      <c r="G18" s="14"/>
      <c r="H18" s="14"/>
      <c r="I18" s="14"/>
      <c r="J18" s="14"/>
      <c r="K18" s="14"/>
      <c r="L18" s="14"/>
    </row>
    <row r="19" spans="1:12" ht="15" x14ac:dyDescent="0.25">
      <c r="C19" s="14"/>
      <c r="D19" s="11"/>
      <c r="E19" s="11"/>
      <c r="F19" s="11"/>
      <c r="G19" s="14"/>
      <c r="H19" s="14"/>
      <c r="I19" s="14"/>
      <c r="J19" s="14"/>
      <c r="K19" s="14"/>
      <c r="L19" s="14"/>
    </row>
    <row r="20" spans="1:12" ht="15" x14ac:dyDescent="0.25">
      <c r="D20" s="14"/>
      <c r="E20" s="11"/>
      <c r="F20" s="11"/>
    </row>
  </sheetData>
  <conditionalFormatting sqref="J2:K7">
    <cfRule type="cellIs" dxfId="1" priority="1" stopIfTrue="1" operator="equal">
      <formula>"reprov falta"</formula>
    </cfRule>
    <cfRule type="cellIs" dxfId="0" priority="2" stopIfTrue="1" operator="equal">
      <formula>"aguardar"</formula>
    </cfRule>
  </conditionalFormatting>
  <pageMargins left="0.78740157499999996" right="0.78740157499999996" top="0.984251969" bottom="0.984251969" header="0.49212598499999999" footer="0.49212598499999999"/>
  <pageSetup paperSize="9" orientation="portrait" horizontalDpi="4294967295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e545c6-d66f-468e-9498-16bfb112919f">
      <Terms xmlns="http://schemas.microsoft.com/office/infopath/2007/PartnerControls"/>
    </lcf76f155ced4ddcb4097134ff3c332f>
    <TaxCatchAll xmlns="9a2f3462-87af-421a-90ad-b5414312ba2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BC73267E1759540B5EF17F1141EE8CA" ma:contentTypeVersion="9" ma:contentTypeDescription="Crie um novo documento." ma:contentTypeScope="" ma:versionID="63e8b10c1d0fc101ddacd5b8c61a485e">
  <xsd:schema xmlns:xsd="http://www.w3.org/2001/XMLSchema" xmlns:xs="http://www.w3.org/2001/XMLSchema" xmlns:p="http://schemas.microsoft.com/office/2006/metadata/properties" xmlns:ns2="84e545c6-d66f-468e-9498-16bfb112919f" xmlns:ns3="9a2f3462-87af-421a-90ad-b5414312ba26" targetNamespace="http://schemas.microsoft.com/office/2006/metadata/properties" ma:root="true" ma:fieldsID="4ac6c7dd8b53429697bf89d107393299" ns2:_="" ns3:_="">
    <xsd:import namespace="84e545c6-d66f-468e-9498-16bfb112919f"/>
    <xsd:import namespace="9a2f3462-87af-421a-90ad-b5414312ba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e545c6-d66f-468e-9498-16bfb1129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2f3462-87af-421a-90ad-b5414312ba2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1ffe772-8514-485c-a991-0b08967167e3}" ma:internalName="TaxCatchAll" ma:showField="CatchAllData" ma:web="9a2f3462-87af-421a-90ad-b5414312ba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119262A-6E0D-4323-9B15-E267A6592753}">
  <ds:schemaRefs>
    <ds:schemaRef ds:uri="http://schemas.microsoft.com/office/2006/metadata/properties"/>
    <ds:schemaRef ds:uri="http://schemas.microsoft.com/office/infopath/2007/PartnerControls"/>
    <ds:schemaRef ds:uri="84e545c6-d66f-468e-9498-16bfb112919f"/>
    <ds:schemaRef ds:uri="9a2f3462-87af-421a-90ad-b5414312ba26"/>
  </ds:schemaRefs>
</ds:datastoreItem>
</file>

<file path=customXml/itemProps2.xml><?xml version="1.0" encoding="utf-8"?>
<ds:datastoreItem xmlns:ds="http://schemas.openxmlformats.org/officeDocument/2006/customXml" ds:itemID="{EB26179C-C2B5-458B-B669-1D6C15B64C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F3032B-5B46-447B-A200-AEB84202AE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e545c6-d66f-468e-9498-16bfb112919f"/>
    <ds:schemaRef ds:uri="9a2f3462-87af-421a-90ad-b5414312ba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Testes</vt:lpstr>
    </vt:vector>
  </TitlesOfParts>
  <Company>Pessoal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152</dc:creator>
  <cp:lastModifiedBy>PAULO HENRIQUE DOS SANTOS MAGALHAES</cp:lastModifiedBy>
  <dcterms:created xsi:type="dcterms:W3CDTF">2010-10-15T18:00:56Z</dcterms:created>
  <dcterms:modified xsi:type="dcterms:W3CDTF">2024-01-12T02:47:17Z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0x010100ABC73267E1759540B5EF17F1141EE8CA</vt:lpwstr>
  </property>
</Properties>
</file>