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HILCO\Desktop\Aulas-VBA\Aula07_29Mar\"/>
    </mc:Choice>
  </mc:AlternateContent>
  <xr:revisionPtr revIDLastSave="0" documentId="13_ncr:1_{8AA818DB-2670-460B-A929-6225E82DA2DE}" xr6:coauthVersionLast="47" xr6:coauthVersionMax="47" xr10:uidLastSave="{00000000-0000-0000-0000-000000000000}"/>
  <bookViews>
    <workbookView xWindow="-120" yWindow="-120" windowWidth="20730" windowHeight="11160" activeTab="1" xr2:uid="{3617B22A-2783-4B0C-B44C-A969A145B99F}"/>
  </bookViews>
  <sheets>
    <sheet name="Funcionários" sheetId="2" r:id="rId1"/>
    <sheet name="Veiculos" sheetId="1" r:id="rId2"/>
  </sheets>
  <functionGroups builtInGroupCount="19"/>
  <definedNames>
    <definedName name="anscount" hidden="1">1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 a="1"/>
  <c r="C3" i="1"/>
  <c r="C4" i="1" a="1"/>
  <c r="C4" i="1"/>
  <c r="C5" i="1" a="1"/>
  <c r="C5" i="1"/>
  <c r="C6" i="1" a="1"/>
  <c r="C6" i="1"/>
  <c r="C7" i="1" a="1"/>
  <c r="C7" i="1"/>
  <c r="C8" i="1" a="1"/>
  <c r="C8" i="1"/>
  <c r="C9" i="1" a="1"/>
  <c r="C9" i="1"/>
  <c r="C10" i="1" a="1"/>
  <c r="C10" i="1"/>
  <c r="C11" i="1" a="1"/>
  <c r="C11" i="1"/>
  <c r="C2" i="1" a="1"/>
  <c r="C2" i="1"/>
  <c r="C3" i="2" a="1"/>
  <c r="C3" i="2"/>
  <c r="C4" i="2" a="1"/>
  <c r="C4" i="2"/>
  <c r="C5" i="2" a="1"/>
  <c r="C5" i="2"/>
  <c r="C6" i="2" a="1"/>
  <c r="C6" i="2"/>
  <c r="C2" i="2" a="1"/>
  <c r="C2" i="2"/>
  <c r="B3" i="1"/>
  <c r="B4" i="1"/>
  <c r="B5" i="1"/>
  <c r="B6" i="1"/>
  <c r="B7" i="1"/>
  <c r="B8" i="1"/>
  <c r="B9" i="1"/>
  <c r="B10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<sst xmlns="http://schemas.openxmlformats.org/spreadsheetml/2006/main" count="21" uniqueCount="21">
  <si>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Placa</t>
  </si>
  <si>
    <t>Final</t>
  </si>
  <si>
    <t>AAA1119</t>
  </si>
  <si>
    <t>AAA1112</t>
  </si>
  <si>
    <t>AAA1120</t>
  </si>
  <si>
    <t>AAA1114</t>
  </si>
  <si>
    <t>AAA1113</t>
  </si>
  <si>
    <t>AAA1118</t>
  </si>
  <si>
    <t>AAA1116</t>
  </si>
  <si>
    <t>AAA1111</t>
  </si>
  <si>
    <t>AAA1115</t>
  </si>
  <si>
    <t>AAA1117</t>
  </si>
  <si>
    <t>Empregado</t>
  </si>
  <si>
    <t>Salário</t>
  </si>
  <si>
    <t>IR Fonte</t>
  </si>
  <si>
    <t>Maria</t>
  </si>
  <si>
    <t>José</t>
  </si>
  <si>
    <t>Carla</t>
  </si>
  <si>
    <t>Pedro</t>
  </si>
  <si>
    <t>João</t>
  </si>
  <si>
    <t>Licenciamento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</si>
</sst>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4" fillId="0" borderId="0"/>
    <xf numFmtId="9" fontId="1" fillId="0" borderId="0" applyFont="0" applyFill="0" applyBorder="0" applyAlignment="0" applyProtection="0"/>
    <xf numFmtId="0" fontId="4" fillId="0" borderId="0"/>
  </cellStyleXfs>
  <cellXfs count="10">
    <xf numFmtId="0" fontId="0" fillId="0" borderId="0" xfId="0"/>
    <xf numFmtId="0" fontId="2" fillId="0" borderId="1" xfId="1" applyFont="1" applyBorder="1" applyAlignment="1">
      <alignment horizontal="center"/>
    </xf>
    <xf numFmtId="0" fontId="3" fillId="0" borderId="1" xfId="1" applyFont="1" applyBorder="1"/>
    <xf numFmtId="0" fontId="3" fillId="0" borderId="1" xfId="1" applyFont="1" applyBorder="1" applyAlignment="1">
      <alignment horizontal="center"/>
    </xf>
    <xf numFmtId="0" fontId="0" fillId="0" borderId="1" xfId="0" applyBorder="1"/>
    <xf numFmtId="0" fontId="2" fillId="0" borderId="1" xfId="2" applyFont="1" applyBorder="1" applyAlignment="1">
      <alignment horizontal="center"/>
    </xf>
    <xf numFmtId="0" fontId="2" fillId="0" borderId="0" xfId="2" applyFont="1" applyAlignment="1">
      <alignment horizontal="center"/>
    </xf>
    <xf numFmtId="0" fontId="1" fillId="0" borderId="0" xfId="1"/>
    <xf numFmtId="0" fontId="3" fillId="0" borderId="1" xfId="2" applyFont="1" applyBorder="1"/>
    <xf numFmtId="164" fontId="1" fillId="0" borderId="1" xfId="1" applyNumberFormat="1" applyBorder="1"/>
  </cellXfs>
  <cellStyles count="5">
    <cellStyle name="Normal" xfId="0" builtinId="0"/>
    <cellStyle name="Normal 2 2" xfId="1" xr:uid="{91959C03-9369-4303-9E24-B34F2AB86A8D}"/>
    <cellStyle name="Normal 3 2" xfId="4" xr:uid="{7FD6B9A5-5F67-42DA-80FC-B9E7C443AD6E}"/>
    <cellStyle name="Normal 4 2" xfId="2" xr:uid="{7E442D50-9697-485A-A636-E9AE2592F429}"/>
    <cellStyle name="Porcentagem 2" xfId="3" xr:uid="{6C71E136-8342-4017-ACDD-5C655981503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DD40-28A1-4F0F-9623-107C4A0A20F6}">
  <sheetPr codeName="Planilha2"/>
  <dimension ref="A1:E6"/>
  <sheetViews>
    <sheetView workbookViewId="0">
      <selection activeCell="E5" sqref="E5"/>
    </sheetView>
  </sheetViews>
  <sheetFormatPr defaultRowHeight="15" x14ac:dyDescent="0.25"/>
  <cols>
    <col min="1" max="1" width="12.85546875" style="7" customWidth="1"/>
    <col min="2" max="2" width="14.7109375" style="7" customWidth="1"/>
    <col min="3" max="3" width="12" style="7" customWidth="1"/>
    <col min="4" max="16384" width="9.140625" style="7"/>
  </cols>
  <sheetData>
    <row r="1" spans="1:5" x14ac:dyDescent="0.25">
      <c r="A1" s="5" t="s">
        <v>12</v>
      </c>
      <c r="B1" s="5" t="s">
        <v>13</v>
      </c>
      <c r="C1" s="5" t="s">
        <v>14</v>
      </c>
      <c r="D1" s="6"/>
      <c r="E1" s="6"/>
    </row>
    <row r="2" spans="1:5" x14ac:dyDescent="0.25">
      <c r="A2" s="8" t="s">
        <v>15</v>
      </c>
      <c r="B2" s="9">
        <v>3500</v>
      </c>
      <c r="C2" s="9" cm="1">
        <f t="array" ref="C2">B2*Desconto(B2)</f>
        <v>525.00002086162567</v>
      </c>
    </row>
    <row r="3" spans="1:5" x14ac:dyDescent="0.25">
      <c r="A3" s="8" t="s">
        <v>17</v>
      </c>
      <c r="B3" s="9">
        <v>1089.6500000000001</v>
      </c>
      <c r="C3" s="9" cm="1">
        <f t="array" ref="C3">B3*Desconto(B3)</f>
        <v>0</v>
      </c>
    </row>
    <row r="4" spans="1:5" x14ac:dyDescent="0.25">
      <c r="A4" s="8" t="s">
        <v>16</v>
      </c>
      <c r="B4" s="9">
        <v>6116</v>
      </c>
      <c r="C4" s="9" cm="1">
        <f t="array" ref="C4">B4*Desconto(B4)</f>
        <v>1681.9000364542007</v>
      </c>
    </row>
    <row r="5" spans="1:5" x14ac:dyDescent="0.25">
      <c r="A5" s="8" t="s">
        <v>18</v>
      </c>
      <c r="B5" s="9">
        <v>3889</v>
      </c>
      <c r="C5" s="9" cm="1">
        <f t="array" ref="C5">B5*Desconto(B5)</f>
        <v>875.02497681975365</v>
      </c>
    </row>
    <row r="6" spans="1:5" x14ac:dyDescent="0.25">
      <c r="A6" s="8" t="s">
        <v>19</v>
      </c>
      <c r="B6" s="9">
        <v>2360</v>
      </c>
      <c r="C6" s="9" cm="1">
        <f t="array" ref="C6">B6*Desconto(B6)</f>
        <v>177.00000703334808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04A21-3C8D-41C9-BDDB-01EDC33F46CA}">
  <sheetPr codeName="Planilha1"/>
  <dimension ref="A1:C11"/>
  <sheetViews>
    <sheetView tabSelected="1" workbookViewId="0">
      <selection activeCell="E3" sqref="E3"/>
    </sheetView>
  </sheetViews>
  <sheetFormatPr defaultRowHeight="15" x14ac:dyDescent="0.25"/>
  <cols>
    <col min="1" max="3" width="15.7109375" customWidth="1"/>
  </cols>
  <sheetData>
    <row r="1" spans="1:3" x14ac:dyDescent="0.25">
      <c r="A1" s="1" t="s">
        <v>0</v>
      </c>
      <c r="B1" s="1" t="s">
        <v>1</v>
      </c>
      <c r="C1" s="1" t="s">
        <v>20</v>
      </c>
    </row>
    <row r="2" spans="1:3" x14ac:dyDescent="0.25">
      <c r="A2" s="2" t="s">
        <v>2</v>
      </c>
      <c r="B2" s="3" t="str">
        <f>RIGHT(A2)</f>
        <v>9</v>
      </c>
      <c r="C2" s="4" t="str" cm="1">
        <f t="array" ref="C2">Detran(B2)</f>
        <v>Novembro</v>
      </c>
    </row>
    <row r="3" spans="1:3" x14ac:dyDescent="0.25">
      <c r="A3" s="2" t="s">
        <v>3</v>
      </c>
      <c r="B3" s="3" t="str">
        <f t="shared" ref="B3:B10" si="0">RIGHT(A3)</f>
        <v>2</v>
      </c>
      <c r="C3" s="4" t="str" cm="1">
        <f t="array" ref="C3">Detran(B3)</f>
        <v>Julho</v>
      </c>
    </row>
    <row r="4" spans="1:3" x14ac:dyDescent="0.25">
      <c r="A4" s="2" t="s">
        <v>4</v>
      </c>
      <c r="B4" s="3" t="str">
        <f t="shared" si="0"/>
        <v>0</v>
      </c>
      <c r="C4" s="4" t="str" cm="1">
        <f t="array" ref="C4">Detran(B4)</f>
        <v>Dezembro</v>
      </c>
    </row>
    <row r="5" spans="1:3" x14ac:dyDescent="0.25">
      <c r="A5" s="2" t="s">
        <v>5</v>
      </c>
      <c r="B5" s="3" t="str">
        <f t="shared" si="0"/>
        <v>4</v>
      </c>
      <c r="C5" s="4" t="str" cm="1">
        <f t="array" ref="C5">Detran(B5)</f>
        <v>Agosto</v>
      </c>
    </row>
    <row r="6" spans="1:3" x14ac:dyDescent="0.25">
      <c r="A6" s="2" t="s">
        <v>6</v>
      </c>
      <c r="B6" s="3" t="str">
        <f t="shared" si="0"/>
        <v>3</v>
      </c>
      <c r="C6" s="4" t="str" cm="1">
        <f t="array" ref="C6">Detran(B6)</f>
        <v>Agosto</v>
      </c>
    </row>
    <row r="7" spans="1:3" x14ac:dyDescent="0.25">
      <c r="A7" s="2" t="s">
        <v>7</v>
      </c>
      <c r="B7" s="3" t="str">
        <f t="shared" si="0"/>
        <v>8</v>
      </c>
      <c r="C7" s="4" t="str" cm="1">
        <f t="array" ref="C7">Detran(B7)</f>
        <v>Outubro</v>
      </c>
    </row>
    <row r="8" spans="1:3" x14ac:dyDescent="0.25">
      <c r="A8" s="2" t="s">
        <v>8</v>
      </c>
      <c r="B8" s="3" t="str">
        <f t="shared" si="0"/>
        <v>6</v>
      </c>
      <c r="C8" s="4" t="str" cm="1">
        <f t="array" ref="C8">Detran(B8)</f>
        <v>Setembro</v>
      </c>
    </row>
    <row r="9" spans="1:3" x14ac:dyDescent="0.25">
      <c r="A9" s="2" t="s">
        <v>9</v>
      </c>
      <c r="B9" s="3" t="str">
        <f t="shared" si="0"/>
        <v>1</v>
      </c>
      <c r="C9" s="4" t="str" cm="1">
        <f t="array" ref="C9">Detran(B9)</f>
        <v>Julho</v>
      </c>
    </row>
    <row r="10" spans="1:3" x14ac:dyDescent="0.25">
      <c r="A10" s="2" t="s">
        <v>10</v>
      </c>
      <c r="B10" s="3" t="str">
        <f t="shared" si="0"/>
        <v>5</v>
      </c>
      <c r="C10" s="4" t="str" cm="1">
        <f t="array" ref="C10">Detran(B10)</f>
        <v>Setembro</v>
      </c>
    </row>
    <row r="11" spans="1:3" x14ac:dyDescent="0.25">
      <c r="A11" s="2" t="s">
        <v>11</v>
      </c>
      <c r="B11" s="3">
        <v>17</v>
      </c>
      <c r="C11" s="4" t="str" cm="1">
        <f t="array" ref="C11">Detran(B11)</f>
        <v>Final Inválido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4e545c6-d66f-468e-9498-16bfb112919f">
      <Terms xmlns="http://schemas.microsoft.com/office/infopath/2007/PartnerControls"/>
    </lcf76f155ced4ddcb4097134ff3c332f>
    <TaxCatchAll xmlns="9a2f3462-87af-421a-90ad-b5414312ba2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BC73267E1759540B5EF17F1141EE8CA" ma:contentTypeVersion="9" ma:contentTypeDescription="Crie um novo documento." ma:contentTypeScope="" ma:versionID="63e8b10c1d0fc101ddacd5b8c61a485e">
  <xsd:schema xmlns:xsd="http://www.w3.org/2001/XMLSchema" xmlns:xs="http://www.w3.org/2001/XMLSchema" xmlns:p="http://schemas.microsoft.com/office/2006/metadata/properties" xmlns:ns2="84e545c6-d66f-468e-9498-16bfb112919f" xmlns:ns3="9a2f3462-87af-421a-90ad-b5414312ba26" targetNamespace="http://schemas.microsoft.com/office/2006/metadata/properties" ma:root="true" ma:fieldsID="4ac6c7dd8b53429697bf89d107393299" ns2:_="" ns3:_="">
    <xsd:import namespace="84e545c6-d66f-468e-9498-16bfb112919f"/>
    <xsd:import namespace="9a2f3462-87af-421a-90ad-b5414312ba2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e545c6-d66f-468e-9498-16bfb1129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2f3462-87af-421a-90ad-b5414312ba2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1ffe772-8514-485c-a991-0b08967167e3}" ma:internalName="TaxCatchAll" ma:showField="CatchAllData" ma:web="9a2f3462-87af-421a-90ad-b5414312ba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9E4C274-563B-4085-B99E-B7180F1E15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2B0FBD-2B8F-49B2-AD3D-6F0AB6B519FC}">
  <ds:schemaRefs>
    <ds:schemaRef ds:uri="http://schemas.microsoft.com/office/2006/metadata/properties"/>
    <ds:schemaRef ds:uri="http://schemas.microsoft.com/office/infopath/2007/PartnerControls"/>
    <ds:schemaRef ds:uri="84e545c6-d66f-468e-9498-16bfb112919f"/>
    <ds:schemaRef ds:uri="9a2f3462-87af-421a-90ad-b5414312ba26"/>
  </ds:schemaRefs>
</ds:datastoreItem>
</file>

<file path=customXml/itemProps3.xml><?xml version="1.0" encoding="utf-8"?>
<ds:datastoreItem xmlns:ds="http://schemas.openxmlformats.org/officeDocument/2006/customXml" ds:itemID="{6D02ADB6-AF93-443F-80A0-70A7218DF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e545c6-d66f-468e-9498-16bfb112919f"/>
    <ds:schemaRef ds:uri="9a2f3462-87af-421a-90ad-b5414312ba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Funcionários</vt:lpstr>
      <vt:lpstr>Veiculos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Autor</dc:creator>
  <cp:lastModifiedBy>PAULO HENRIQUE DOS SANTOS MAGALHAES</cp:lastModifiedBy>
  <dcterms:created xsi:type="dcterms:W3CDTF">2020-03-31T22:47:19Z</dcterms:created>
  <dcterms:modified xsi:type="dcterms:W3CDTF">2024-01-11T12:03:13Z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0x010100ABC73267E1759540B5EF17F1141EE8CA</vt:lpwstr>
  </property>
</Properties>
</file>