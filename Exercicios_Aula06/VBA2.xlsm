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PHILCO\Desktop\Aulas-VBA\Aula06_22Mar\"/>
    </mc:Choice>
  </mc:AlternateContent>
  <xr:revisionPtr revIDLastSave="0" documentId="13_ncr:1_{824EE9E5-4692-4FDC-85EE-C00B13D1ACE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ssa" sheetId="3" r:id="rId1"/>
    <sheet name="Notas" sheetId="2" r:id="rId2"/>
  </sheets>
  <definedNames>
    <definedName name="anscount" hidden="1">1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novo" localSheetId="0">#REF!</definedName>
    <definedName name="novo">#REF!</definedName>
    <definedName name="Pacotes" localSheetId="0">#REF!</definedName>
    <definedName name="Pacotes">#REF!</definedName>
    <definedName name="rw" localSheetId="0">#REF!</definedName>
    <definedName name="rw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2" l="1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" i="3"/>
</calcChain>
</file>

<file path=xl/sharedStrings.xml><?xml version="1.0" encoding="utf-8"?>
<sst xmlns="http://schemas.openxmlformats.org/spreadsheetml/2006/main" count="35" uniqueCount="35">
  <si>
    <t>Pedro</t>
  </si>
  <si>
    <t>Turma</t>
  </si>
  <si>
    <t>Nome</t>
  </si>
  <si>
    <t>P1</t>
  </si>
  <si>
    <t>P2</t>
  </si>
  <si>
    <t>Média final</t>
  </si>
  <si>
    <t>Resultado</t>
  </si>
  <si>
    <t>Ana</t>
  </si>
  <si>
    <t>Antonio</t>
  </si>
  <si>
    <t xml:space="preserve">Daiane </t>
  </si>
  <si>
    <t xml:space="preserve">Danilo </t>
  </si>
  <si>
    <t>Edson</t>
  </si>
  <si>
    <t>Erika</t>
  </si>
  <si>
    <t>Fabio</t>
  </si>
  <si>
    <t>Gustavo</t>
  </si>
  <si>
    <t>Humberto</t>
  </si>
  <si>
    <t>Jose</t>
  </si>
  <si>
    <t>Juliana</t>
  </si>
  <si>
    <t>Lenita</t>
  </si>
  <si>
    <t>Luciana</t>
  </si>
  <si>
    <t xml:space="preserve">Luiz Felipe </t>
  </si>
  <si>
    <t>Marcos</t>
  </si>
  <si>
    <t>Maria</t>
  </si>
  <si>
    <t>Rafael</t>
  </si>
  <si>
    <t>Renan</t>
  </si>
  <si>
    <t>Renato</t>
  </si>
  <si>
    <t xml:space="preserve">Vinicius </t>
  </si>
  <si>
    <t>Wellington</t>
  </si>
  <si>
    <t>Inicial</t>
  </si>
  <si>
    <t xml:space="preserve">Tabela de cálculo do Índice de Massa Corporal </t>
  </si>
  <si>
    <t>IMC</t>
  </si>
  <si>
    <t>Situação</t>
  </si>
  <si>
    <t>Altura</t>
  </si>
  <si>
    <t>Peso</t>
  </si>
  <si>
    <t>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</si>
</sst>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rgb="FF00FF00"/>
      <name val="Arial"/>
      <family val="2"/>
    </font>
    <font>
      <sz val="11"/>
      <color rgb="FF00FF00"/>
      <name val="Calibri"/>
      <family val="2"/>
      <scheme val="minor"/>
    </font>
    <font>
      <sz val="11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4" fillId="0" borderId="0"/>
    <xf numFmtId="0" fontId="5" fillId="0" borderId="0"/>
  </cellStyleXfs>
  <cellXfs count="27">
    <xf numFmtId="0" fontId="0" fillId="0" borderId="0" xfId="0"/>
    <xf numFmtId="0" fontId="2" fillId="0" borderId="1" xfId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 wrapText="1"/>
    </xf>
    <xf numFmtId="0" fontId="1" fillId="0" borderId="0" xfId="1"/>
    <xf numFmtId="0" fontId="1" fillId="0" borderId="1" xfId="1" applyBorder="1" applyAlignment="1">
      <alignment horizontal="center" vertical="center"/>
    </xf>
    <xf numFmtId="0" fontId="3" fillId="0" borderId="1" xfId="1" applyFont="1" applyBorder="1" applyAlignment="1">
      <alignment horizontal="left"/>
    </xf>
    <xf numFmtId="164" fontId="3" fillId="0" borderId="1" xfId="1" applyNumberFormat="1" applyFont="1" applyBorder="1" applyAlignment="1">
      <alignment horizontal="center"/>
    </xf>
    <xf numFmtId="0" fontId="1" fillId="0" borderId="1" xfId="1" applyBorder="1"/>
    <xf numFmtId="0" fontId="4" fillId="0" borderId="0" xfId="2" applyAlignment="1">
      <alignment horizontal="center" vertical="center"/>
    </xf>
    <xf numFmtId="0" fontId="4" fillId="0" borderId="0" xfId="2"/>
    <xf numFmtId="0" fontId="1" fillId="0" borderId="1" xfId="1" applyBorder="1" applyAlignment="1">
      <alignment horizontal="center"/>
    </xf>
    <xf numFmtId="0" fontId="1" fillId="2" borderId="0" xfId="1" applyFill="1"/>
    <xf numFmtId="0" fontId="1" fillId="3" borderId="0" xfId="1" applyFill="1"/>
    <xf numFmtId="0" fontId="1" fillId="4" borderId="0" xfId="1" applyFill="1"/>
    <xf numFmtId="0" fontId="5" fillId="0" borderId="0" xfId="3"/>
    <xf numFmtId="0" fontId="6" fillId="0" borderId="0" xfId="3" applyFont="1"/>
    <xf numFmtId="0" fontId="7" fillId="0" borderId="1" xfId="3" applyFont="1" applyBorder="1" applyAlignment="1">
      <alignment horizontal="center" vertical="center"/>
    </xf>
    <xf numFmtId="0" fontId="8" fillId="0" borderId="1" xfId="3" applyFont="1" applyBorder="1" applyAlignment="1">
      <alignment horizontal="center" vertical="center" wrapText="1"/>
    </xf>
    <xf numFmtId="0" fontId="8" fillId="0" borderId="1" xfId="3" applyFont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12" fillId="0" borderId="0" xfId="3" applyFont="1"/>
    <xf numFmtId="0" fontId="12" fillId="0" borderId="1" xfId="3" applyFont="1" applyBorder="1" applyAlignment="1">
      <alignment horizontal="center" vertical="center"/>
    </xf>
    <xf numFmtId="0" fontId="13" fillId="0" borderId="1" xfId="1" applyFont="1" applyBorder="1"/>
    <xf numFmtId="0" fontId="14" fillId="0" borderId="1" xfId="1" applyFont="1" applyBorder="1"/>
    <xf numFmtId="0" fontId="11" fillId="0" borderId="1" xfId="1" applyFont="1" applyBorder="1"/>
    <xf numFmtId="164" fontId="3" fillId="5" borderId="1" xfId="1" applyNumberFormat="1" applyFont="1" applyFill="1" applyBorder="1" applyAlignment="1">
      <alignment horizontal="center"/>
    </xf>
  </cellXfs>
  <cellStyles count="4">
    <cellStyle name="Normal" xfId="0" builtinId="0"/>
    <cellStyle name="Normal 2 2" xfId="2" xr:uid="{030CE232-DAE2-49A0-A027-86D39278DF40}"/>
    <cellStyle name="Normal 2 2 2" xfId="3" xr:uid="{D60E62DA-7313-4CE2-97E5-B127A8BBFD0E}"/>
    <cellStyle name="Normal 3" xfId="1" xr:uid="{8A7D07B3-D423-41CF-980B-3F7EF69805AC}"/>
  </cellStyles>
  <dxfs count="2"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B6C5-E15B-4A4E-873D-2D7BD6BA411F}">
  <sheetPr codeName="Planilha3"/>
  <dimension ref="A1:E4"/>
  <sheetViews>
    <sheetView tabSelected="1" workbookViewId="0">
      <selection activeCell="F9" sqref="F9"/>
    </sheetView>
  </sheetViews>
  <sheetFormatPr defaultColWidth="9" defaultRowHeight="12.75" x14ac:dyDescent="0.2"/>
  <cols>
    <col min="1" max="2" width="8.5703125" style="14" customWidth="1"/>
    <col min="3" max="3" width="12.7109375" style="14" customWidth="1"/>
    <col min="4" max="4" width="16.42578125" style="14" customWidth="1"/>
    <col min="5" max="16384" width="9" style="14"/>
  </cols>
  <sheetData>
    <row r="1" spans="1:5" ht="33.75" customHeight="1" x14ac:dyDescent="0.2">
      <c r="A1" s="20" t="s">
        <v>29</v>
      </c>
      <c r="B1" s="20"/>
      <c r="C1" s="20"/>
      <c r="D1" s="20"/>
      <c r="E1" s="15"/>
    </row>
    <row r="2" spans="1:5" ht="33.75" customHeight="1" x14ac:dyDescent="0.2">
      <c r="A2" s="17" t="s">
        <v>33</v>
      </c>
      <c r="B2" s="17" t="s">
        <v>32</v>
      </c>
      <c r="C2" s="18" t="s">
        <v>30</v>
      </c>
      <c r="D2" s="18" t="s">
        <v>31</v>
      </c>
    </row>
    <row r="3" spans="1:5" ht="33.75" customHeight="1" x14ac:dyDescent="0.2">
      <c r="A3" s="16">
        <v>65</v>
      </c>
      <c r="B3" s="16">
        <v>1.63</v>
      </c>
      <c r="C3" s="19">
        <f>A3/B3^2</f>
        <v>24.464601603372351</v>
      </c>
      <c r="D3" s="22" t="s">
        <v>34</v>
      </c>
    </row>
    <row r="4" spans="1:5" x14ac:dyDescent="0.2">
      <c r="D4" s="21"/>
    </row>
  </sheetData>
  <mergeCells count="1">
    <mergeCell ref="A1:D1"/>
  </mergeCells>
  <pageMargins left="0.78740157499999996" right="0.78740157499999996" top="0.984251969" bottom="0.984251969" header="0.49212598499999999" footer="0.49212598499999999"/>
  <pageSetup paperSize="9" orientation="portrait" horizont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a">
                <anchor moveWithCells="1" sizeWithCells="1">
                  <from>
                    <xdr:col>4</xdr:col>
                    <xdr:colOff>590550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BC4E8-EE92-4060-875C-A229186AB80F}">
  <sheetPr codeName="Planilha2"/>
  <dimension ref="A1:J24"/>
  <sheetViews>
    <sheetView zoomScale="90" zoomScaleNormal="90" workbookViewId="0">
      <selection activeCell="K9" sqref="K9"/>
    </sheetView>
  </sheetViews>
  <sheetFormatPr defaultRowHeight="15" x14ac:dyDescent="0.25"/>
  <cols>
    <col min="1" max="2" width="9.140625" style="9"/>
    <col min="3" max="3" width="18" style="9" customWidth="1"/>
    <col min="4" max="4" width="7.140625" style="9" bestFit="1" customWidth="1"/>
    <col min="5" max="5" width="6" style="9" bestFit="1" customWidth="1"/>
    <col min="6" max="6" width="14.85546875" style="9" customWidth="1"/>
    <col min="7" max="7" width="11.42578125" style="9" customWidth="1"/>
    <col min="8" max="16384" width="9.140625" style="9"/>
  </cols>
  <sheetData>
    <row r="1" spans="1:10" s="3" customFormat="1" x14ac:dyDescent="0.25">
      <c r="A1" s="1" t="s">
        <v>1</v>
      </c>
      <c r="B1" s="1" t="s">
        <v>28</v>
      </c>
      <c r="C1" s="1" t="s">
        <v>2</v>
      </c>
      <c r="D1" s="2" t="s">
        <v>3</v>
      </c>
      <c r="E1" s="2" t="s">
        <v>4</v>
      </c>
      <c r="F1" s="1" t="s">
        <v>5</v>
      </c>
      <c r="G1" s="1" t="s">
        <v>6</v>
      </c>
    </row>
    <row r="2" spans="1:10" s="3" customFormat="1" x14ac:dyDescent="0.25">
      <c r="A2" s="10"/>
      <c r="B2" s="4"/>
      <c r="C2" s="5" t="s">
        <v>7</v>
      </c>
      <c r="D2" s="6">
        <v>9</v>
      </c>
      <c r="E2" s="6">
        <v>5</v>
      </c>
      <c r="F2" s="26">
        <f t="shared" ref="F2:F23" si="0">(D2+E2)/2</f>
        <v>7</v>
      </c>
      <c r="G2" s="23"/>
      <c r="J2" s="11"/>
    </row>
    <row r="3" spans="1:10" s="3" customFormat="1" x14ac:dyDescent="0.25">
      <c r="A3" s="10"/>
      <c r="B3" s="4"/>
      <c r="C3" s="5" t="s">
        <v>8</v>
      </c>
      <c r="D3" s="6">
        <v>3</v>
      </c>
      <c r="E3" s="6">
        <v>7</v>
      </c>
      <c r="F3" s="26">
        <f t="shared" si="0"/>
        <v>5</v>
      </c>
      <c r="G3" s="24"/>
      <c r="J3" s="12"/>
    </row>
    <row r="4" spans="1:10" s="3" customFormat="1" x14ac:dyDescent="0.25">
      <c r="A4" s="10"/>
      <c r="B4" s="4"/>
      <c r="C4" s="7" t="s">
        <v>9</v>
      </c>
      <c r="D4" s="6">
        <v>6</v>
      </c>
      <c r="E4" s="6">
        <v>8</v>
      </c>
      <c r="F4" s="26">
        <f t="shared" si="0"/>
        <v>7</v>
      </c>
      <c r="G4" s="23"/>
      <c r="J4" s="13"/>
    </row>
    <row r="5" spans="1:10" s="3" customFormat="1" x14ac:dyDescent="0.25">
      <c r="A5" s="10"/>
      <c r="B5" s="4"/>
      <c r="C5" s="5" t="s">
        <v>10</v>
      </c>
      <c r="D5" s="6">
        <v>5</v>
      </c>
      <c r="E5" s="6">
        <v>7</v>
      </c>
      <c r="F5" s="26">
        <f t="shared" si="0"/>
        <v>6</v>
      </c>
      <c r="G5" s="23"/>
    </row>
    <row r="6" spans="1:10" s="3" customFormat="1" x14ac:dyDescent="0.25">
      <c r="A6" s="10"/>
      <c r="B6" s="4"/>
      <c r="C6" s="5" t="s">
        <v>11</v>
      </c>
      <c r="D6" s="6">
        <v>7</v>
      </c>
      <c r="E6" s="6">
        <v>6</v>
      </c>
      <c r="F6" s="26">
        <f t="shared" si="0"/>
        <v>6.5</v>
      </c>
      <c r="G6" s="23"/>
    </row>
    <row r="7" spans="1:10" s="3" customFormat="1" x14ac:dyDescent="0.25">
      <c r="A7" s="10"/>
      <c r="B7" s="4"/>
      <c r="C7" s="5" t="s">
        <v>12</v>
      </c>
      <c r="D7" s="6">
        <v>6</v>
      </c>
      <c r="E7" s="6">
        <v>8</v>
      </c>
      <c r="F7" s="26">
        <f t="shared" si="0"/>
        <v>7</v>
      </c>
      <c r="G7" s="23"/>
    </row>
    <row r="8" spans="1:10" s="3" customFormat="1" x14ac:dyDescent="0.25">
      <c r="A8" s="10"/>
      <c r="B8" s="4"/>
      <c r="C8" s="5" t="s">
        <v>13</v>
      </c>
      <c r="D8" s="6">
        <v>5</v>
      </c>
      <c r="E8" s="6">
        <v>8</v>
      </c>
      <c r="F8" s="26">
        <f t="shared" si="0"/>
        <v>6.5</v>
      </c>
      <c r="G8" s="23"/>
    </row>
    <row r="9" spans="1:10" s="3" customFormat="1" x14ac:dyDescent="0.25">
      <c r="A9" s="10"/>
      <c r="B9" s="4"/>
      <c r="C9" s="5" t="s">
        <v>14</v>
      </c>
      <c r="D9" s="6">
        <v>5</v>
      </c>
      <c r="E9" s="6">
        <v>8</v>
      </c>
      <c r="F9" s="26">
        <f t="shared" si="0"/>
        <v>6.5</v>
      </c>
      <c r="G9" s="23"/>
    </row>
    <row r="10" spans="1:10" s="3" customFormat="1" x14ac:dyDescent="0.25">
      <c r="A10" s="10"/>
      <c r="B10" s="4"/>
      <c r="C10" s="5" t="s">
        <v>15</v>
      </c>
      <c r="D10" s="6">
        <v>4</v>
      </c>
      <c r="E10" s="6">
        <v>0</v>
      </c>
      <c r="F10" s="26">
        <f t="shared" si="0"/>
        <v>2</v>
      </c>
      <c r="G10" s="25"/>
    </row>
    <row r="11" spans="1:10" s="3" customFormat="1" x14ac:dyDescent="0.25">
      <c r="A11" s="10"/>
      <c r="B11" s="4"/>
      <c r="C11" s="5" t="s">
        <v>16</v>
      </c>
      <c r="D11" s="6">
        <v>0</v>
      </c>
      <c r="E11" s="6">
        <v>8</v>
      </c>
      <c r="F11" s="26">
        <f t="shared" si="0"/>
        <v>4</v>
      </c>
      <c r="G11" s="25"/>
    </row>
    <row r="12" spans="1:10" s="3" customFormat="1" x14ac:dyDescent="0.25">
      <c r="A12" s="10"/>
      <c r="B12" s="4"/>
      <c r="C12" s="5" t="s">
        <v>17</v>
      </c>
      <c r="D12" s="6">
        <v>8</v>
      </c>
      <c r="E12" s="6">
        <v>9</v>
      </c>
      <c r="F12" s="26">
        <f t="shared" si="0"/>
        <v>8.5</v>
      </c>
      <c r="G12" s="23"/>
    </row>
    <row r="13" spans="1:10" s="3" customFormat="1" x14ac:dyDescent="0.25">
      <c r="A13" s="10"/>
      <c r="B13" s="4"/>
      <c r="C13" s="5" t="s">
        <v>18</v>
      </c>
      <c r="D13" s="6">
        <v>4</v>
      </c>
      <c r="E13" s="6">
        <v>6</v>
      </c>
      <c r="F13" s="26">
        <f t="shared" si="0"/>
        <v>5</v>
      </c>
      <c r="G13" s="24"/>
    </row>
    <row r="14" spans="1:10" s="3" customFormat="1" x14ac:dyDescent="0.25">
      <c r="A14" s="10"/>
      <c r="B14" s="4"/>
      <c r="C14" s="5" t="s">
        <v>19</v>
      </c>
      <c r="D14" s="6">
        <v>6</v>
      </c>
      <c r="E14" s="6">
        <v>6</v>
      </c>
      <c r="F14" s="26">
        <f t="shared" si="0"/>
        <v>6</v>
      </c>
      <c r="G14" s="23"/>
    </row>
    <row r="15" spans="1:10" s="3" customFormat="1" x14ac:dyDescent="0.25">
      <c r="A15" s="10"/>
      <c r="B15" s="4"/>
      <c r="C15" s="5" t="s">
        <v>20</v>
      </c>
      <c r="D15" s="6">
        <v>7</v>
      </c>
      <c r="E15" s="6">
        <v>8</v>
      </c>
      <c r="F15" s="26">
        <f t="shared" si="0"/>
        <v>7.5</v>
      </c>
      <c r="G15" s="23"/>
    </row>
    <row r="16" spans="1:10" s="3" customFormat="1" x14ac:dyDescent="0.25">
      <c r="A16" s="10"/>
      <c r="B16" s="4"/>
      <c r="C16" s="5" t="s">
        <v>21</v>
      </c>
      <c r="D16" s="6">
        <v>5</v>
      </c>
      <c r="E16" s="6">
        <v>8</v>
      </c>
      <c r="F16" s="26">
        <f t="shared" si="0"/>
        <v>6.5</v>
      </c>
      <c r="G16" s="23"/>
    </row>
    <row r="17" spans="1:7" s="3" customFormat="1" x14ac:dyDescent="0.25">
      <c r="A17" s="10"/>
      <c r="B17" s="4"/>
      <c r="C17" s="5" t="s">
        <v>22</v>
      </c>
      <c r="D17" s="6">
        <v>0</v>
      </c>
      <c r="E17" s="6">
        <v>8</v>
      </c>
      <c r="F17" s="26">
        <f t="shared" si="0"/>
        <v>4</v>
      </c>
      <c r="G17" s="25"/>
    </row>
    <row r="18" spans="1:7" s="3" customFormat="1" x14ac:dyDescent="0.25">
      <c r="A18" s="10"/>
      <c r="B18" s="4"/>
      <c r="C18" s="5" t="s">
        <v>0</v>
      </c>
      <c r="D18" s="6">
        <v>7</v>
      </c>
      <c r="E18" s="6">
        <v>0</v>
      </c>
      <c r="F18" s="26">
        <f t="shared" si="0"/>
        <v>3.5</v>
      </c>
      <c r="G18" s="25"/>
    </row>
    <row r="19" spans="1:7" s="3" customFormat="1" x14ac:dyDescent="0.25">
      <c r="A19" s="10"/>
      <c r="B19" s="4"/>
      <c r="C19" s="5" t="s">
        <v>23</v>
      </c>
      <c r="D19" s="6">
        <v>7</v>
      </c>
      <c r="E19" s="6">
        <v>9</v>
      </c>
      <c r="F19" s="26">
        <f t="shared" si="0"/>
        <v>8</v>
      </c>
      <c r="G19" s="23"/>
    </row>
    <row r="20" spans="1:7" s="3" customFormat="1" x14ac:dyDescent="0.25">
      <c r="A20" s="10"/>
      <c r="B20" s="4"/>
      <c r="C20" s="5" t="s">
        <v>24</v>
      </c>
      <c r="D20" s="6">
        <v>7</v>
      </c>
      <c r="E20" s="6">
        <v>10</v>
      </c>
      <c r="F20" s="26">
        <f t="shared" si="0"/>
        <v>8.5</v>
      </c>
      <c r="G20" s="23"/>
    </row>
    <row r="21" spans="1:7" s="3" customFormat="1" x14ac:dyDescent="0.25">
      <c r="A21" s="10"/>
      <c r="B21" s="4"/>
      <c r="C21" s="5" t="s">
        <v>25</v>
      </c>
      <c r="D21" s="6">
        <v>7.5</v>
      </c>
      <c r="E21" s="6">
        <v>8.5</v>
      </c>
      <c r="F21" s="26">
        <f t="shared" si="0"/>
        <v>8</v>
      </c>
      <c r="G21" s="23"/>
    </row>
    <row r="22" spans="1:7" s="3" customFormat="1" x14ac:dyDescent="0.25">
      <c r="A22" s="10"/>
      <c r="B22" s="4"/>
      <c r="C22" s="5" t="s">
        <v>26</v>
      </c>
      <c r="D22" s="6">
        <v>5</v>
      </c>
      <c r="E22" s="6">
        <v>6</v>
      </c>
      <c r="F22" s="26">
        <f t="shared" si="0"/>
        <v>5.5</v>
      </c>
      <c r="G22" s="24"/>
    </row>
    <row r="23" spans="1:7" s="3" customFormat="1" x14ac:dyDescent="0.25">
      <c r="A23" s="10"/>
      <c r="B23" s="4"/>
      <c r="C23" s="5" t="s">
        <v>27</v>
      </c>
      <c r="D23" s="6">
        <v>10</v>
      </c>
      <c r="E23" s="6">
        <v>10</v>
      </c>
      <c r="F23" s="26">
        <f t="shared" si="0"/>
        <v>10</v>
      </c>
      <c r="G23" s="23"/>
    </row>
    <row r="24" spans="1:7" x14ac:dyDescent="0.25">
      <c r="B24" s="8"/>
    </row>
  </sheetData>
  <conditionalFormatting sqref="F2:F23">
    <cfRule type="cellIs" dxfId="1" priority="1" stopIfTrue="1" operator="equal">
      <formula>"reprov falta"</formula>
    </cfRule>
    <cfRule type="cellIs" dxfId="0" priority="2" stopIfTrue="1" operator="equal">
      <formula>"aguardar"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4e545c6-d66f-468e-9498-16bfb112919f">
      <Terms xmlns="http://schemas.microsoft.com/office/infopath/2007/PartnerControls"/>
    </lcf76f155ced4ddcb4097134ff3c332f>
    <TaxCatchAll xmlns="9a2f3462-87af-421a-90ad-b5414312ba2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BC73267E1759540B5EF17F1141EE8CA" ma:contentTypeVersion="9" ma:contentTypeDescription="Crie um novo documento." ma:contentTypeScope="" ma:versionID="63e8b10c1d0fc101ddacd5b8c61a485e">
  <xsd:schema xmlns:xsd="http://www.w3.org/2001/XMLSchema" xmlns:xs="http://www.w3.org/2001/XMLSchema" xmlns:p="http://schemas.microsoft.com/office/2006/metadata/properties" xmlns:ns2="84e545c6-d66f-468e-9498-16bfb112919f" xmlns:ns3="9a2f3462-87af-421a-90ad-b5414312ba26" targetNamespace="http://schemas.microsoft.com/office/2006/metadata/properties" ma:root="true" ma:fieldsID="4ac6c7dd8b53429697bf89d107393299" ns2:_="" ns3:_="">
    <xsd:import namespace="84e545c6-d66f-468e-9498-16bfb112919f"/>
    <xsd:import namespace="9a2f3462-87af-421a-90ad-b5414312ba2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e545c6-d66f-468e-9498-16bfb11291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0ef6089c-5148-4909-88ac-65974e5b7e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2f3462-87af-421a-90ad-b5414312ba2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1ffe772-8514-485c-a991-0b08967167e3}" ma:internalName="TaxCatchAll" ma:showField="CatchAllData" ma:web="9a2f3462-87af-421a-90ad-b5414312ba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1A44554-FA2E-4F90-A47B-3284A2A1DAF9}">
  <ds:schemaRefs>
    <ds:schemaRef ds:uri="http://schemas.microsoft.com/office/2006/metadata/properties"/>
    <ds:schemaRef ds:uri="http://schemas.microsoft.com/office/infopath/2007/PartnerControls"/>
    <ds:schemaRef ds:uri="84e545c6-d66f-468e-9498-16bfb112919f"/>
    <ds:schemaRef ds:uri="9a2f3462-87af-421a-90ad-b5414312ba26"/>
  </ds:schemaRefs>
</ds:datastoreItem>
</file>

<file path=customXml/itemProps2.xml><?xml version="1.0" encoding="utf-8"?>
<ds:datastoreItem xmlns:ds="http://schemas.openxmlformats.org/officeDocument/2006/customXml" ds:itemID="{2FBF9942-5C0B-4D4B-836E-AC5C72F706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C2C910F-3C17-4CBB-941B-0E923DA7B39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e545c6-d66f-468e-9498-16bfb112919f"/>
    <ds:schemaRef ds:uri="9a2f3462-87af-421a-90ad-b5414312ba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Massa</vt:lpstr>
      <vt:lpstr>Notas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mclaudia</dc:creator>
  <cp:lastModifiedBy>PAULO HENRIQUE DOS SANTOS MAGALHAES</cp:lastModifiedBy>
  <dcterms:created xsi:type="dcterms:W3CDTF">2015-03-11T18:40:26Z</dcterms:created>
  <dcterms:modified xsi:type="dcterms:W3CDTF">2024-01-11T04:58:10Z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0x010100ABC73267E1759540B5EF17F1141EE8CA</vt:lpwstr>
  </property>
</Properties>
</file>