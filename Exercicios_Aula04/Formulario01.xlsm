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HILCO\Desktop\Aulas-VBA\Aula04_08Mar\"/>
    </mc:Choice>
  </mc:AlternateContent>
  <xr:revisionPtr revIDLastSave="0" documentId="13_ncr:1_{22966681-471D-44D2-9A70-E6CF6D4D4790}" xr6:coauthVersionLast="47" xr6:coauthVersionMax="47" xr10:uidLastSave="{00000000-0000-0000-0000-000000000000}"/>
  <bookViews>
    <workbookView xWindow="-120" yWindow="-120" windowWidth="20730" windowHeight="11160" xr2:uid="{B1A92148-EB42-44A0-B174-FC15B768E497}"/>
  </bookViews>
  <sheets>
    <sheet name="Orçamen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 a="1"/>
  <c r="C5" i="1"/>
  <c r="C13" i="1" s="1"/>
  <c r="C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<sst xmlns="http://schemas.openxmlformats.org/spreadsheetml/2006/main" count="34" uniqueCount="33">
  <si>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Cidade</t>
  </si>
  <si>
    <t>Orçamento - Viagem</t>
  </si>
  <si>
    <t>Pagamento</t>
  </si>
  <si>
    <t>Destino:</t>
  </si>
  <si>
    <t>Valor:</t>
  </si>
  <si>
    <t>Quantidade:</t>
  </si>
  <si>
    <t>Bariloche</t>
  </si>
  <si>
    <t>Bonito</t>
  </si>
  <si>
    <t>Buenos Aires</t>
  </si>
  <si>
    <t>Caldas Novas</t>
  </si>
  <si>
    <t>Camburiú</t>
  </si>
  <si>
    <t>Cidade do México</t>
  </si>
  <si>
    <t>Costa do Sauípe</t>
  </si>
  <si>
    <t>Fortaleza</t>
  </si>
  <si>
    <t>Foz do Iguaçu</t>
  </si>
  <si>
    <t>Havana</t>
  </si>
  <si>
    <t>Las Vegas</t>
  </si>
  <si>
    <t>Lisboa</t>
  </si>
  <si>
    <t>Londres</t>
  </si>
  <si>
    <t>Los Angeles</t>
  </si>
  <si>
    <t>Machu Picchu</t>
  </si>
  <si>
    <t>Madri</t>
  </si>
  <si>
    <t>Nova York</t>
  </si>
  <si>
    <t>Orlando</t>
  </si>
  <si>
    <t>Paris</t>
  </si>
  <si>
    <t>Rio de Janeiro</t>
  </si>
  <si>
    <t>Serras Gaúchas</t>
  </si>
  <si>
    <t>Total</t>
  </si>
  <si>
    <t>Preferencial</t>
  </si>
  <si>
    <t>Vínculos</t>
  </si>
  <si>
    <t>Dados</t>
  </si>
  <si>
    <t>&lt;&lt;Cidade&gt;&gt;</t>
  </si>
  <si>
    <t>Pagamento: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</si>
</sst>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0070C0"/>
      <name val="Calibri"/>
      <family val="2"/>
    </font>
    <font>
      <sz val="10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1" xfId="2" applyFont="1" applyBorder="1"/>
    <xf numFmtId="2" fontId="6" fillId="0" borderId="1" xfId="3" applyNumberFormat="1" applyFont="1" applyBorder="1" applyAlignment="1" applyProtection="1">
      <alignment vertical="center"/>
    </xf>
    <xf numFmtId="0" fontId="7" fillId="0" borderId="0" xfId="0" applyFont="1" applyAlignment="1">
      <alignment vertical="center"/>
    </xf>
    <xf numFmtId="164" fontId="3" fillId="0" borderId="0" xfId="1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</cellXfs>
  <cellStyles count="4">
    <cellStyle name="Moeda" xfId="1" builtinId="4"/>
    <cellStyle name="Moeda 2" xfId="3" xr:uid="{F48C503A-74C7-4275-B457-8E7A018604C7}"/>
    <cellStyle name="Normal" xfId="0" builtinId="0"/>
    <cellStyle name="Normal 3" xfId="2" xr:uid="{CE1ADD1B-A883-422C-97BD-87D54789613F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Lines="5" dropStyle="combo" dx="22" fmlaLink="I2" fmlaRange="K2:K23" noThreeD="1" sel="1" val="0"/>
</file>

<file path=xl/ctrlProps/ctrlProp2.xml><?xml version="1.0" encoding="utf-8"?>
<formControlPr xmlns="http://schemas.microsoft.com/office/spreadsheetml/2009/9/main" objectType="Spin" dx="22" fmlaLink="C7" max="10" min="1" page="10"/>
</file>

<file path=xl/ctrlProps/ctrlProp3.xml><?xml version="1.0" encoding="utf-8"?>
<formControlPr xmlns="http://schemas.microsoft.com/office/spreadsheetml/2009/9/main" objectType="Radio" checked="Checked" firstButton="1" fmlaLink="I3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fmlaLink="I4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1</xdr:row>
          <xdr:rowOff>171450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8936</xdr:colOff>
          <xdr:row>5</xdr:row>
          <xdr:rowOff>176753</xdr:rowOff>
        </xdr:from>
        <xdr:to>
          <xdr:col>3</xdr:col>
          <xdr:colOff>196392</xdr:colOff>
          <xdr:row>6</xdr:row>
          <xdr:rowOff>176753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950439</xdr:colOff>
          <xdr:row>7</xdr:row>
          <xdr:rowOff>173807</xdr:rowOff>
        </xdr:from>
        <xdr:to>
          <xdr:col>2</xdr:col>
          <xdr:colOff>978719</xdr:colOff>
          <xdr:row>9</xdr:row>
          <xdr:rowOff>6285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367940</xdr:colOff>
          <xdr:row>7</xdr:row>
          <xdr:rowOff>174396</xdr:rowOff>
        </xdr:from>
        <xdr:to>
          <xdr:col>4</xdr:col>
          <xdr:colOff>406040</xdr:colOff>
          <xdr:row>9</xdr:row>
          <xdr:rowOff>6874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598111</xdr:colOff>
          <xdr:row>9</xdr:row>
          <xdr:rowOff>175575</xdr:rowOff>
        </xdr:from>
        <xdr:to>
          <xdr:col>2</xdr:col>
          <xdr:colOff>65497</xdr:colOff>
          <xdr:row>11</xdr:row>
          <xdr:rowOff>8052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PREFERENCIAL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9525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97D5B-9FC1-4D1C-8D8C-D2EE66DF175E}">
  <dimension ref="A1:L23"/>
  <sheetViews>
    <sheetView showGridLines="0" tabSelected="1" zoomScale="97" zoomScaleNormal="97" workbookViewId="0">
      <selection activeCell="B1" sqref="B1:F1"/>
    </sheetView>
  </sheetViews>
  <sheetFormatPr defaultRowHeight="15" x14ac:dyDescent="0.25"/>
  <cols>
    <col min="2" max="2" width="14.85546875" customWidth="1"/>
    <col min="3" max="5" width="14.7109375" customWidth="1"/>
    <col min="6" max="6" width="10" customWidth="1"/>
    <col min="8" max="8" width="11.85546875" hidden="1" customWidth="1"/>
    <col min="9" max="9" width="12.7109375" hidden="1" customWidth="1"/>
    <col min="10" max="10" width="0" hidden="1" customWidth="1"/>
    <col min="11" max="11" width="15.5703125" hidden="1" customWidth="1"/>
    <col min="12" max="12" width="11" hidden="1" customWidth="1"/>
  </cols>
  <sheetData>
    <row r="1" spans="1:12" x14ac:dyDescent="0.25">
      <c r="A1" s="1"/>
      <c r="B1" s="11" t="s">
        <v>1</v>
      </c>
      <c r="C1" s="11"/>
      <c r="D1" s="11"/>
      <c r="E1" s="11"/>
      <c r="F1" s="11"/>
      <c r="G1" s="2"/>
      <c r="H1" s="12" t="s">
        <v>29</v>
      </c>
      <c r="I1" s="12"/>
      <c r="J1" s="3"/>
      <c r="K1" s="13" t="s">
        <v>30</v>
      </c>
      <c r="L1" s="13"/>
    </row>
    <row r="2" spans="1:12" x14ac:dyDescent="0.25">
      <c r="A2" s="1"/>
      <c r="B2" s="1"/>
      <c r="C2" s="1"/>
      <c r="D2" s="1"/>
      <c r="E2" s="1"/>
      <c r="F2" s="1"/>
      <c r="G2" s="2"/>
      <c r="H2" s="4" t="s">
        <v>0</v>
      </c>
      <c r="I2" s="15">
        <v>1</v>
      </c>
      <c r="J2" s="5"/>
      <c r="K2" s="6" t="s">
        <v>31</v>
      </c>
      <c r="L2" s="7">
        <v>0</v>
      </c>
    </row>
    <row r="3" spans="1:12" x14ac:dyDescent="0.25">
      <c r="A3" s="1"/>
      <c r="B3" s="8" t="s">
        <v>3</v>
      </c>
      <c r="C3" s="1"/>
      <c r="D3" s="1"/>
      <c r="E3" s="1"/>
      <c r="F3" s="1"/>
      <c r="G3" s="2"/>
      <c r="H3" s="4" t="s">
        <v>2</v>
      </c>
      <c r="I3" s="15">
        <v>1</v>
      </c>
      <c r="J3" s="5"/>
      <c r="K3" s="6" t="s">
        <v>6</v>
      </c>
      <c r="L3" s="7">
        <v>2315</v>
      </c>
    </row>
    <row r="4" spans="1:12" x14ac:dyDescent="0.25">
      <c r="A4" s="1"/>
      <c r="B4" s="8"/>
      <c r="C4" s="1"/>
      <c r="D4" s="1"/>
      <c r="E4" s="1"/>
      <c r="F4" s="1"/>
      <c r="G4" s="2"/>
      <c r="H4" s="4" t="s">
        <v>28</v>
      </c>
      <c r="I4" s="16" t="b">
        <v>0</v>
      </c>
      <c r="J4" s="1"/>
      <c r="K4" s="6" t="s">
        <v>7</v>
      </c>
      <c r="L4" s="7">
        <v>990</v>
      </c>
    </row>
    <row r="5" spans="1:12" x14ac:dyDescent="0.25">
      <c r="A5" s="1"/>
      <c r="B5" s="8" t="s">
        <v>4</v>
      </c>
      <c r="C5" s="9" cm="1">
        <f t="array" ref="C5">INDEX(L2:L23,I2,1)</f>
        <v>0</v>
      </c>
      <c r="D5" s="1"/>
      <c r="E5" s="1"/>
      <c r="F5" s="1"/>
      <c r="G5" s="2"/>
      <c r="H5" s="1"/>
      <c r="I5" s="1"/>
      <c r="J5" s="1"/>
      <c r="K5" s="6" t="s">
        <v>8</v>
      </c>
      <c r="L5" s="7">
        <v>2180</v>
      </c>
    </row>
    <row r="6" spans="1:12" x14ac:dyDescent="0.25">
      <c r="A6" s="1"/>
      <c r="B6" s="1"/>
      <c r="C6" s="1"/>
      <c r="D6" s="1"/>
      <c r="E6" s="1"/>
      <c r="F6" s="1"/>
      <c r="G6" s="2"/>
      <c r="H6" s="1"/>
      <c r="I6" s="1"/>
      <c r="J6" s="1"/>
      <c r="K6" s="6" t="s">
        <v>9</v>
      </c>
      <c r="L6" s="7">
        <v>498</v>
      </c>
    </row>
    <row r="7" spans="1:12" x14ac:dyDescent="0.25">
      <c r="A7" s="1"/>
      <c r="B7" s="8" t="s">
        <v>5</v>
      </c>
      <c r="C7" s="15">
        <v>1</v>
      </c>
      <c r="D7" s="1"/>
      <c r="E7" s="1"/>
      <c r="F7" s="1"/>
      <c r="G7" s="2"/>
      <c r="H7" s="1"/>
      <c r="I7" s="1"/>
      <c r="J7" s="1"/>
      <c r="K7" s="6" t="s">
        <v>10</v>
      </c>
      <c r="L7" s="7">
        <v>700</v>
      </c>
    </row>
    <row r="8" spans="1:12" x14ac:dyDescent="0.25">
      <c r="A8" s="1"/>
      <c r="B8" s="1"/>
      <c r="C8" s="1"/>
      <c r="D8" s="1"/>
      <c r="E8" s="1"/>
      <c r="F8" s="1"/>
      <c r="G8" s="2"/>
      <c r="H8" s="1"/>
      <c r="I8" s="1"/>
      <c r="J8" s="1"/>
      <c r="K8" s="6" t="s">
        <v>11</v>
      </c>
      <c r="L8" s="7">
        <v>3400</v>
      </c>
    </row>
    <row r="9" spans="1:12" x14ac:dyDescent="0.25">
      <c r="A9" s="1"/>
      <c r="B9" s="10" t="s">
        <v>32</v>
      </c>
      <c r="C9" s="1"/>
      <c r="D9" s="1"/>
      <c r="E9" s="1"/>
      <c r="F9" s="1"/>
      <c r="G9" s="2"/>
      <c r="H9" s="1"/>
      <c r="I9" s="1"/>
      <c r="J9" s="1"/>
      <c r="K9" s="6" t="s">
        <v>12</v>
      </c>
      <c r="L9" s="7">
        <v>3000</v>
      </c>
    </row>
    <row r="10" spans="1:12" x14ac:dyDescent="0.25">
      <c r="A10" s="1"/>
      <c r="B10" s="1"/>
      <c r="C10" s="1"/>
      <c r="D10" s="1"/>
      <c r="E10" s="1"/>
      <c r="F10" s="1"/>
      <c r="G10" s="2"/>
      <c r="H10" s="1"/>
      <c r="I10" s="1"/>
      <c r="J10" s="1"/>
      <c r="K10" s="6" t="s">
        <v>13</v>
      </c>
      <c r="L10" s="7">
        <v>1390</v>
      </c>
    </row>
    <row r="11" spans="1:12" x14ac:dyDescent="0.25">
      <c r="A11" s="1"/>
      <c r="C11" s="1"/>
      <c r="D11" s="1"/>
      <c r="E11" s="1"/>
      <c r="F11" s="1"/>
      <c r="G11" s="2"/>
      <c r="H11" s="1"/>
      <c r="I11" s="1"/>
      <c r="J11" s="1"/>
      <c r="K11" s="6" t="s">
        <v>14</v>
      </c>
      <c r="L11" s="7">
        <v>750</v>
      </c>
    </row>
    <row r="12" spans="1:12" x14ac:dyDescent="0.25">
      <c r="A12" s="1"/>
      <c r="C12" s="1"/>
      <c r="D12" s="1"/>
      <c r="E12" s="1"/>
      <c r="F12" s="1"/>
      <c r="G12" s="2"/>
      <c r="H12" s="1"/>
      <c r="I12" s="1"/>
      <c r="J12" s="1"/>
      <c r="K12" s="6" t="s">
        <v>15</v>
      </c>
      <c r="L12" s="7">
        <v>2780</v>
      </c>
    </row>
    <row r="13" spans="1:12" x14ac:dyDescent="0.25">
      <c r="A13" s="1"/>
      <c r="B13" s="8" t="s">
        <v>27</v>
      </c>
      <c r="C13" s="14">
        <f>C5*C7*IF(I3=1,0.9,1)</f>
        <v>0</v>
      </c>
      <c r="D13" s="1"/>
      <c r="E13" s="1"/>
      <c r="F13" s="1"/>
      <c r="G13" s="2"/>
      <c r="H13" s="1"/>
      <c r="I13" s="1"/>
      <c r="J13" s="1"/>
      <c r="K13" s="6" t="s">
        <v>16</v>
      </c>
      <c r="L13" s="7">
        <v>4300</v>
      </c>
    </row>
    <row r="14" spans="1:12" x14ac:dyDescent="0.25">
      <c r="A14" s="1"/>
      <c r="B14" s="8" t="s">
        <v>28</v>
      </c>
      <c r="C14" s="14">
        <f>C13*0.95</f>
        <v>0</v>
      </c>
      <c r="D14" s="1"/>
      <c r="E14" s="1"/>
      <c r="F14" s="1"/>
      <c r="G14" s="2"/>
      <c r="H14" s="1"/>
      <c r="I14" s="1"/>
      <c r="J14" s="1"/>
      <c r="K14" s="6" t="s">
        <v>17</v>
      </c>
      <c r="L14" s="7">
        <v>3100</v>
      </c>
    </row>
    <row r="15" spans="1:12" x14ac:dyDescent="0.25">
      <c r="A15" s="1"/>
      <c r="C15" s="9"/>
      <c r="D15" s="1"/>
      <c r="E15" s="1"/>
      <c r="F15" s="1"/>
      <c r="G15" s="2"/>
      <c r="H15" s="1"/>
      <c r="I15" s="1"/>
      <c r="J15" s="1"/>
      <c r="K15" s="6" t="s">
        <v>18</v>
      </c>
      <c r="L15" s="7">
        <v>5900</v>
      </c>
    </row>
    <row r="16" spans="1:12" x14ac:dyDescent="0.25">
      <c r="A16" s="1"/>
      <c r="C16" s="9"/>
      <c r="D16" s="1"/>
      <c r="E16" s="1"/>
      <c r="F16" s="1"/>
      <c r="G16" s="2"/>
      <c r="H16" s="1"/>
      <c r="I16" s="1"/>
      <c r="J16" s="1"/>
      <c r="K16" s="6" t="s">
        <v>19</v>
      </c>
      <c r="L16" s="7">
        <v>4400</v>
      </c>
    </row>
    <row r="17" spans="1:12" x14ac:dyDescent="0.25">
      <c r="A17" s="1"/>
      <c r="B17" s="2"/>
      <c r="C17" s="9"/>
      <c r="D17" s="1"/>
      <c r="E17" s="1"/>
      <c r="F17" s="1"/>
      <c r="G17" s="2"/>
      <c r="H17" s="1"/>
      <c r="I17" s="1"/>
      <c r="J17" s="1"/>
      <c r="K17" s="6" t="s">
        <v>20</v>
      </c>
      <c r="L17" s="7">
        <v>2200</v>
      </c>
    </row>
    <row r="18" spans="1:1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6" t="s">
        <v>21</v>
      </c>
      <c r="L18" s="7">
        <v>3120</v>
      </c>
    </row>
    <row r="19" spans="1:12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6" t="s">
        <v>22</v>
      </c>
      <c r="L19" s="7">
        <v>4100</v>
      </c>
    </row>
    <row r="20" spans="1:12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6" t="s">
        <v>23</v>
      </c>
      <c r="L20" s="7">
        <v>5500</v>
      </c>
    </row>
    <row r="21" spans="1:12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6" t="s">
        <v>24</v>
      </c>
      <c r="L21" s="7">
        <v>6000</v>
      </c>
    </row>
    <row r="22" spans="1:12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6" t="s">
        <v>25</v>
      </c>
      <c r="L22" s="7">
        <v>348</v>
      </c>
    </row>
    <row r="23" spans="1:1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6" t="s">
        <v>26</v>
      </c>
      <c r="L23" s="7">
        <v>1580</v>
      </c>
    </row>
  </sheetData>
  <sheetProtection sheet="1" objects="1" scenarios="1" selectLockedCells="1" selectUnlockedCells="1"/>
  <mergeCells count="3">
    <mergeCell ref="B1:F1"/>
    <mergeCell ref="H1:I1"/>
    <mergeCell ref="K1:L1"/>
  </mergeCells>
  <conditionalFormatting sqref="B14:C14">
    <cfRule type="expression" dxfId="0" priority="1">
      <formula>$I4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981075</xdr:colOff>
                    <xdr:row>1</xdr:row>
                    <xdr:rowOff>171450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3</xdr:col>
                    <xdr:colOff>9525</xdr:colOff>
                    <xdr:row>5</xdr:row>
                    <xdr:rowOff>180975</xdr:rowOff>
                  </from>
                  <to>
                    <xdr:col>3</xdr:col>
                    <xdr:colOff>200025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1</xdr:col>
                    <xdr:colOff>952500</xdr:colOff>
                    <xdr:row>7</xdr:row>
                    <xdr:rowOff>171450</xdr:rowOff>
                  </from>
                  <to>
                    <xdr:col>2</xdr:col>
                    <xdr:colOff>981075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3</xdr:col>
                    <xdr:colOff>371475</xdr:colOff>
                    <xdr:row>7</xdr:row>
                    <xdr:rowOff>171450</xdr:rowOff>
                  </from>
                  <to>
                    <xdr:col>4</xdr:col>
                    <xdr:colOff>409575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0</xdr:col>
                    <xdr:colOff>600075</xdr:colOff>
                    <xdr:row>9</xdr:row>
                    <xdr:rowOff>171450</xdr:rowOff>
                  </from>
                  <to>
                    <xdr:col>2</xdr:col>
                    <xdr:colOff>66675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einiciar">
                <anchor moveWithCells="1" sizeWithCells="1">
                  <from>
                    <xdr:col>1</xdr:col>
                    <xdr:colOff>0</xdr:colOff>
                    <xdr:row>15</xdr:row>
                    <xdr:rowOff>9525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C73267E1759540B5EF17F1141EE8CA" ma:contentTypeVersion="8" ma:contentTypeDescription="Crie um novo documento." ma:contentTypeScope="" ma:versionID="5b14d2ab9c434e7b053bc87715733194">
  <xsd:schema xmlns:xsd="http://www.w3.org/2001/XMLSchema" xmlns:xs="http://www.w3.org/2001/XMLSchema" xmlns:p="http://schemas.microsoft.com/office/2006/metadata/properties" xmlns:ns2="84e545c6-d66f-468e-9498-16bfb112919f" xmlns:ns3="9a2f3462-87af-421a-90ad-b5414312ba26" targetNamespace="http://schemas.microsoft.com/office/2006/metadata/properties" ma:root="true" ma:fieldsID="39b46288ce744e000a080219c9d65aef" ns2:_="" ns3:_="">
    <xsd:import namespace="84e545c6-d66f-468e-9498-16bfb112919f"/>
    <xsd:import namespace="9a2f3462-87af-421a-90ad-b5414312ba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e545c6-d66f-468e-9498-16bfb1129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f3462-87af-421a-90ad-b5414312ba2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1ffe772-8514-485c-a991-0b08967167e3}" ma:internalName="TaxCatchAll" ma:showField="CatchAllData" ma:web="9a2f3462-87af-421a-90ad-b5414312ba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e545c6-d66f-468e-9498-16bfb112919f">
      <Terms xmlns="http://schemas.microsoft.com/office/infopath/2007/PartnerControls"/>
    </lcf76f155ced4ddcb4097134ff3c332f>
    <TaxCatchAll xmlns="9a2f3462-87af-421a-90ad-b5414312ba26" xsi:nil="true"/>
  </documentManagement>
</p:properties>
</file>

<file path=customXml/itemProps1.xml><?xml version="1.0" encoding="utf-8"?>
<ds:datastoreItem xmlns:ds="http://schemas.openxmlformats.org/officeDocument/2006/customXml" ds:itemID="{0E8F8A45-8A0C-45BD-9CB7-BFD5A07958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30B316-1097-4CE2-81DF-8F861865DC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e545c6-d66f-468e-9498-16bfb112919f"/>
    <ds:schemaRef ds:uri="9a2f3462-87af-421a-90ad-b5414312ba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C5CB3C3-B3AE-492B-B4A6-5B3943F12B63}">
  <ds:schemaRefs>
    <ds:schemaRef ds:uri="http://schemas.microsoft.com/office/2006/metadata/properties"/>
    <ds:schemaRef ds:uri="http://schemas.microsoft.com/office/infopath/2007/PartnerControls"/>
    <ds:schemaRef ds:uri="84e545c6-d66f-468e-9498-16bfb112919f"/>
    <ds:schemaRef ds:uri="9a2f3462-87af-421a-90ad-b5414312ba2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Orçamento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</dc:creator>
  <cp:lastModifiedBy>PAULO HENRIQUE DOS SANTOS MAGALHAES</cp:lastModifiedBy>
  <dcterms:created xsi:type="dcterms:W3CDTF">2018-08-10T19:42:47Z</dcterms:created>
  <dcterms:modified xsi:type="dcterms:W3CDTF">2024-01-05T01:18:41Z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0x010100ABC73267E1759540B5EF17F1141EE8CA</vt:lpwstr>
  </property>
</Properties>
</file>